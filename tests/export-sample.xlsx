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3000" windowHeight="12000" activeTab="4"/>
  </bookViews>
  <sheets>
    <sheet name="Summary" sheetId="1" r:id="rId1"/>
    <sheet name="Categories" sheetId="2" r:id="rId2"/>
    <sheet name="Aug-26" sheetId="3" r:id="rId3"/>
    <sheet name="Sept-26" sheetId="4" r:id="rId4"/>
    <sheet name="Oct-26" sheetId="5" r:id="rId5"/>
  </sheets>
  <calcPr calcId="191029" fullCalcOnLoad="1"/>
</workbook>
</file>

<file path=xl/sharedStrings.xml><?xml version="1.0" encoding="utf-8"?>
<sst xmlns="http://schemas.openxmlformats.org/spreadsheetml/2006/main" count="60" uniqueCount="26">
  <si>
    <t xml:space="preserve">ANNUAL EXPENSE &amp; INCOME SUMMARY</t>
  </si>
  <si>
    <t xml:space="preserve">Month</t>
  </si>
  <si>
    <t xml:space="preserve">Starting Balance</t>
  </si>
  <si>
    <t xml:space="preserve">Total Spent</t>
  </si>
  <si>
    <t xml:space="preserve">Available Balance</t>
  </si>
  <si>
    <t xml:space="preserve">Categories</t>
  </si>
  <si>
    <t xml:space="preserve">Bills</t>
  </si>
  <si>
    <t xml:space="preserve">Food</t>
  </si>
  <si>
    <t xml:space="preserve">Shopping</t>
  </si>
  <si>
    <t xml:space="preserve">Income</t>
  </si>
  <si>
    <t xml:space="preserve">Mobile</t>
  </si>
  <si>
    <t xml:space="preserve">Groceries</t>
  </si>
  <si>
    <t xml:space="preserve">Clothes</t>
  </si>
  <si>
    <t xml:space="preserve">Internet</t>
  </si>
  <si>
    <t xml:space="preserve">Coffee</t>
  </si>
  <si>
    <t xml:space="preserve">Household</t>
  </si>
  <si>
    <t xml:space="preserve">Date</t>
  </si>
  <si>
    <t xml:space="preserve">Description</t>
  </si>
  <si>
    <t xml:space="preserve">Amount</t>
  </si>
  <si>
    <t xml:space="preserve">Type</t>
  </si>
  <si>
    <t xml:space="preserve">Category</t>
  </si>
  <si>
    <t xml:space="preserve">Sub-Category</t>
  </si>
  <si>
    <t xml:space="preserve">Pay &amp; "bonus" &lt;tax&gt;</t>
  </si>
  <si>
    <t xml:space="preserve">Gift</t>
  </si>
  <si>
    <t xml:space="preserve">Expense</t>
  </si>
  <si>
    <t xml:space="preserve">Phone</t>
  </si>
</sst>
</file>

<file path=xl/styles.xml><?xml version="1.0" encoding="utf-8"?>
<styleSheet xmlns="http://schemas.openxmlformats.org/spreadsheetml/2006/main">
  <numFmts count="2">
    <numFmt numFmtId="164" formatCode="dd\-mmm\-yy"/>
    <numFmt numFmtId="165" formatCode="mmm\ yyyy"/>
  </numFmts>
  <fonts count="3">
    <font>
      <sz val="11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4" fontId="0" fillId="0" borderId="0" xfId="0" applyNumberFormat="1"/>
    <xf numFmtId="0" fontId="1" fillId="0" borderId="0" xfId="0" applyFont="1"/>
    <xf numFmtId="165" fontId="0" fillId="0" borderId="0" xfId="0" applyNumberFormat="1"/>
    <xf numFmtId="0" fontId="2" fillId="0" borderId="0" xfId="0" applyFont="1"/>
  </cellXfs>
  <cellStyles count="1">
    <cellStyle name="Normal" xfId="0" builtinId="0"/>
  </cellStyles>
  <dxfs count="2">
    <dxf>
      <font>
        <b/>
        <color rgb="FF16A34A"/>
      </font>
      <fill>
        <patternFill>
          <bgColor rgb="FFDCFCE7"/>
        </patternFill>
      </fill>
    </dxf>
    <dxf>
      <font>
        <b/>
        <color rgb="FFDC2626"/>
      </font>
      <fill>
        <patternFill>
          <bgColor rgb="FFFEE2E2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CategoryList" displayName="CategoryList" ref="A1:A5" totalsRowShown="0">
  <autoFilter ref="A1:A5"/>
  <tableColumns count="1">
    <tableColumn id="1" name="Categori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Balance_Aug_26" displayName="tblBalance_Aug_26" ref="A1:C2" totalsRowShown="0">
  <autoFilter ref="A1:C2"/>
  <tableColumns count="3">
    <tableColumn id="1" name="Starting Balance"/>
    <tableColumn id="2" name="Total Spent"/>
    <tableColumn id="3" name="Available Bala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Transactions_Aug_26" displayName="tblTransactions_Aug_26" ref="A4:F6" totalsRowShown="0">
  <autoFilter ref="A4:F6"/>
  <tableColumns count="6">
    <tableColumn id="1" name="Date"/>
    <tableColumn id="2" name="Description"/>
    <tableColumn id="3" name="Amount"/>
    <tableColumn id="4" name="Type"/>
    <tableColumn id="5" name="Category"/>
    <tableColumn id="6" name="Sub-Categor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Balance_Sept_26" displayName="tblBalance_Sept_26" ref="A1:C2" totalsRowShown="0">
  <autoFilter ref="A1:C2"/>
  <tableColumns count="3">
    <tableColumn id="1" name="Starting Balance"/>
    <tableColumn id="2" name="Total Spent"/>
    <tableColumn id="3" name="Available Balan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Transactions_Sept_26" displayName="tblTransactions_Sept_26" ref="A4:F5" totalsRowShown="0">
  <autoFilter ref="A4:F5"/>
  <tableColumns count="6">
    <tableColumn id="1" name="Date"/>
    <tableColumn id="2" name="Description"/>
    <tableColumn id="3" name="Amount"/>
    <tableColumn id="4" name="Type"/>
    <tableColumn id="5" name="Category"/>
    <tableColumn id="6" name="Sub-Category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blBalance_Oct_26" displayName="tblBalance_Oct_26" ref="A1:C2" totalsRowShown="0">
  <autoFilter ref="A1:C2"/>
  <tableColumns count="3">
    <tableColumn id="1" name="Starting Balance"/>
    <tableColumn id="2" name="Total Spent"/>
    <tableColumn id="3" name="Available Balanc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Transactions_Oct_26" displayName="tblTransactions_Oct_26" ref="A4:F5" totalsRowShown="0">
  <autoFilter ref="A4:F5"/>
  <tableColumns count="6">
    <tableColumn id="1" name="Date"/>
    <tableColumn id="2" name="Description"/>
    <tableColumn id="3" name="Amount"/>
    <tableColumn id="4" name="Type"/>
    <tableColumn id="5" name="Category"/>
    <tableColumn id="6" name="Sub-Category"/>
  </tableColumns>
  <tableStyleInfo name="TableStyleMedium9" showFirstColumn="0" showLastColumn="0" showRowStripes="1" showColumnStripes="0"/>
</tabl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Relationship Id="rId2" Type="http://schemas.openxmlformats.org/officeDocument/2006/relationships/table" Target="../tables/table5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Relationship Id="rId2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selection activeCell="A1" sqref="A1"/>
    </sheetView>
  </sheetViews>
  <sheetFormatPr defaultRowHeight="15"/>
  <cols>
    <col min="1" max="1" width="14" customWidth="1"/>
    <col min="2" max="4" width="22" customWidth="1"/>
  </cols>
  <sheetData>
    <row r="1">
      <c r="A1" s="5" t="s">
        <v>0</v>
      </c>
      <c r="B1" s="5"/>
      <c r="C1" s="5"/>
      <c r="D1" s="5"/>
    </row>
    <row r="3">
      <c r="A3" s="3" t="s">
        <v>1</v>
      </c>
      <c r="B3" s="3" t="s">
        <v>2</v>
      </c>
      <c r="C3" s="3" t="s">
        <v>3</v>
      </c>
      <c r="D3" s="3" t="s">
        <v>4</v>
      </c>
    </row>
    <row r="4">
      <c r="A4" s="4">
        <v>46235</v>
      </c>
      <c r="B4" s="2">
        <f>'Aug-26'!A2</f>
        <v>150000</v>
      </c>
      <c r="C4" s="2">
        <f>'Aug-26'!B2</f>
        <v>1250.5</v>
      </c>
      <c r="D4" s="2">
        <f>'Aug-26'!C2</f>
        <v>153749.5</v>
      </c>
    </row>
    <row r="5">
      <c r="A5" s="4">
        <v>46266</v>
      </c>
      <c r="B5" s="2">
        <f>'Sept-26'!A2</f>
        <v>153749.5</v>
      </c>
      <c r="C5" s="2">
        <f>'Sept-26'!B2</f>
        <v>300</v>
      </c>
      <c r="D5" s="2">
        <f>'Sept-26'!C2</f>
        <v>153449.5</v>
      </c>
    </row>
    <row r="6">
      <c r="A6" s="4">
        <v>46296</v>
      </c>
      <c r="B6" s="2">
        <f>'Oct-26'!A2</f>
        <v>153449.5</v>
      </c>
      <c r="C6" s="2">
        <f>'Oct-26'!B2</f>
        <v>0</v>
      </c>
      <c r="D6" s="2">
        <f>'Oct-26'!C2</f>
        <v>153449.5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selection activeCell="A1" sqref="A1"/>
    </sheetView>
  </sheetViews>
  <sheetFormatPr defaultRowHeight="15"/>
  <cols>
    <col min="1" max="1" width="18" customWidth="1"/>
    <col min="2" max="12" width="18" customWidth="1"/>
  </cols>
  <sheetData>
    <row r="1">
      <c r="A1" t="s">
        <v>5</v>
      </c>
      <c r="B1" s="3" t="s">
        <v>6</v>
      </c>
      <c r="C1" s="3" t="s">
        <v>7</v>
      </c>
      <c r="D1" s="3" t="s">
        <v>8</v>
      </c>
      <c r="E1" s="3" t="s">
        <v>9</v>
      </c>
    </row>
    <row r="2">
      <c r="A2" t="s">
        <v>6</v>
      </c>
      <c r="B2" t="s">
        <v>10</v>
      </c>
      <c r="C2" t="s">
        <v>11</v>
      </c>
      <c r="D2" t="s">
        <v>12</v>
      </c>
      <c r="E2" t="s">
        <v>9</v>
      </c>
    </row>
    <row r="3">
      <c r="A3" t="s">
        <v>7</v>
      </c>
      <c r="B3" t="s">
        <v>13</v>
      </c>
      <c r="C3" t="s">
        <v>14</v>
      </c>
      <c r="D3" t="s">
        <v>15</v>
      </c>
    </row>
    <row r="4">
      <c r="A4" t="s">
        <v>8</v>
      </c>
    </row>
    <row r="5">
      <c r="A5" t="s">
        <v>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  <selection pane="bottomLeft" activeCell="A5" sqref="A5"/>
    </sheetView>
  </sheetViews>
  <sheetFormatPr defaultRowHeight="15"/>
  <cols>
    <col min="1" max="1" width="22" customWidth="1"/>
    <col min="2" max="2" width="32" customWidth="1"/>
    <col min="3" max="3" width="22" customWidth="1"/>
    <col min="4" max="4" width="14" customWidth="1"/>
    <col min="5" max="5" width="18" customWidth="1"/>
    <col min="6" max="6" width="18" customWidth="1"/>
  </cols>
  <sheetData>
    <row r="1">
      <c r="A1" t="s">
        <v>2</v>
      </c>
      <c r="B1" t="s">
        <v>3</v>
      </c>
      <c r="C1" t="s">
        <v>4</v>
      </c>
    </row>
    <row r="2">
      <c r="A2" s="2">
        <v>150000</v>
      </c>
      <c r="B2" s="2">
        <f>SUMIFS(tblTransactions_Aug_26[Amount],tblTransactions_Aug_26[Type],"Expense")</f>
        <v>1250.5</v>
      </c>
      <c r="C2" s="2">
        <f>A2-B2+SUMIFS(tblTransactions_Aug_26[Amount],tblTransactions_Aug_26[Type],"Income")</f>
        <v>153749.5</v>
      </c>
    </row>
    <row r="4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>
      <c r="A5" s="1">
        <v>46236</v>
      </c>
      <c r="B5" t="s">
        <v>22</v>
      </c>
      <c r="C5" s="2">
        <v>5000</v>
      </c>
      <c r="D5" t="s">
        <v>9</v>
      </c>
      <c r="E5" t="s">
        <v>9</v>
      </c>
      <c r="F5" t="s">
        <v>9</v>
      </c>
    </row>
    <row r="6">
      <c r="A6" s="1">
        <v>46250</v>
      </c>
      <c r="B6" t="s">
        <v>23</v>
      </c>
      <c r="C6" s="2">
        <v>1250.5</v>
      </c>
      <c r="D6" t="s">
        <v>24</v>
      </c>
      <c r="E6" t="s">
        <v>8</v>
      </c>
      <c r="F6" t="s">
        <v>15</v>
      </c>
    </row>
  </sheetData>
  <conditionalFormatting sqref="A5:F1016">
    <cfRule type="expression" dxfId="0" priority="1">
      <formula>$D5="Income"</formula>
    </cfRule>
    <cfRule type="expression" dxfId="1" priority="2">
      <formula>$D5="Expense"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  <selection pane="bottomLeft" activeCell="A5" sqref="A5"/>
    </sheetView>
  </sheetViews>
  <sheetFormatPr defaultRowHeight="15"/>
  <cols>
    <col min="1" max="1" width="22" customWidth="1"/>
    <col min="2" max="2" width="32" customWidth="1"/>
    <col min="3" max="3" width="22" customWidth="1"/>
    <col min="4" max="4" width="14" customWidth="1"/>
    <col min="5" max="5" width="18" customWidth="1"/>
    <col min="6" max="6" width="18" customWidth="1"/>
  </cols>
  <sheetData>
    <row r="1">
      <c r="A1" t="s">
        <v>2</v>
      </c>
      <c r="B1" t="s">
        <v>3</v>
      </c>
      <c r="C1" t="s">
        <v>4</v>
      </c>
    </row>
    <row r="2">
      <c r="A2" s="2">
        <f>'Aug-26'!C2</f>
        <v>153749.5</v>
      </c>
      <c r="B2" s="2">
        <f>SUMIFS(tblTransactions_Sept_26[Amount],tblTransactions_Sept_26[Type],"Expense")</f>
        <v>300</v>
      </c>
      <c r="C2" s="2">
        <f>A2-B2+SUMIFS(tblTransactions_Sept_26[Amount],tblTransactions_Sept_26[Type],"Income")</f>
        <v>153449.5</v>
      </c>
    </row>
    <row r="4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>
      <c r="A5" s="1">
        <v>46275</v>
      </c>
      <c r="B5" t="s">
        <v>25</v>
      </c>
      <c r="C5" s="2">
        <v>300</v>
      </c>
      <c r="D5" t="s">
        <v>24</v>
      </c>
      <c r="E5" t="s">
        <v>6</v>
      </c>
      <c r="F5" t="s">
        <v>10</v>
      </c>
    </row>
  </sheetData>
  <conditionalFormatting sqref="A5:F1016">
    <cfRule type="expression" dxfId="0" priority="1">
      <formula>$D5="Income"</formula>
    </cfRule>
    <cfRule type="expression" dxfId="1" priority="2">
      <formula>$D5="Expense"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  <selection pane="bottomLeft" activeCell="A5" sqref="A5"/>
    </sheetView>
  </sheetViews>
  <sheetFormatPr defaultRowHeight="15"/>
  <cols>
    <col min="1" max="1" width="22" customWidth="1"/>
    <col min="2" max="2" width="32" customWidth="1"/>
    <col min="3" max="3" width="22" customWidth="1"/>
    <col min="4" max="4" width="14" customWidth="1"/>
    <col min="5" max="5" width="18" customWidth="1"/>
    <col min="6" max="6" width="18" customWidth="1"/>
  </cols>
  <sheetData>
    <row r="1">
      <c r="A1" t="s">
        <v>2</v>
      </c>
      <c r="B1" t="s">
        <v>3</v>
      </c>
      <c r="C1" t="s">
        <v>4</v>
      </c>
    </row>
    <row r="2">
      <c r="A2" s="2">
        <f>'Sept-26'!C2</f>
        <v>153449.5</v>
      </c>
      <c r="B2" s="2">
        <f>SUMIFS(tblTransactions_Oct_26[Amount],tblTransactions_Oct_26[Type],"Expense")</f>
        <v>0</v>
      </c>
      <c r="C2" s="2">
        <f>A2-B2+SUMIFS(tblTransactions_Oct_26[Amount],tblTransactions_Oct_26[Type],"Income")</f>
        <v>153449.5</v>
      </c>
    </row>
    <row r="4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>
      <c r="A5" s="1"/>
      <c r="B5"/>
      <c r="C5" s="2"/>
      <c r="D5"/>
      <c r="E5"/>
      <c r="F5"/>
    </row>
  </sheetData>
  <conditionalFormatting sqref="A5:F1016">
    <cfRule type="expression" dxfId="0" priority="1">
      <formula>$D5="Income"</formula>
    </cfRule>
    <cfRule type="expression" dxfId="1" priority="2">
      <formula>$D5="Expense"</formula>
    </cfRule>
  </conditionalFormatting>
  <pageMargins left="0.7" right="0.7" top="0.75" bottom="0.75" header="0.3" footer="0.3"/>
  <tableParts count="2">
    <tablePart r:id="rId1"/>
    <tablePart r:id="rId2"/>
  </tableParts>
</worksheet>
</file>